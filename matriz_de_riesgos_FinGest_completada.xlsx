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a38715756214d3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OS" sheetId="1" r:id="R8aa34b630aa84ec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4">
    <x:font>
      <x:sz val="11"/>
      <x:name val="Carlito"/>
    </x:font>
    <x:font>
      <x:b/>
      <x:sz val="16"/>
      <x:name val="Carlito"/>
    </x:font>
    <x:font>
      <x:i/>
      <x:sz val="11"/>
      <x:name val="Carlito"/>
    </x:font>
    <x:font>
      <x:b/>
      <x:sz val="11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FFF59D"/>
      </x:patternFill>
    </x:fill>
    <x:fill>
      <x:patternFill patternType="solid">
        <x:fgColor rgb="FFF9CB9C"/>
      </x:patternFill>
    </x:fill>
    <x:fill>
      <x:patternFill patternType="solid">
        <x:fgColor rgb="FFFF0000"/>
      </x:patternFill>
    </x:fill>
    <x:fill>
      <x:patternFill patternType="solid">
        <x:fgColor rgb="FFFF9900"/>
      </x:patternFill>
    </x:fill>
    <x:fill>
      <x:patternFill patternType="solid">
        <x:fgColor rgb="FFFFFFFF"/>
      </x:patternFill>
    </x:fill>
  </x:fills>
  <x:borders count="2">
    <x:border/>
    <x:border/>
  </x:borders>
  <x:cellStyleXfs count="1">
    <x:xf numFmtId="0" fontId="0" fillId="0" borderId="0"/>
  </x:cellStyleXfs>
  <x:cellXfs count="6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horizontal="center"/>
    </x:xf>
    <x:xf numFmtId="0" fontId="2" fillId="0" borderId="1" xfId="0" applyNumberFormat="1" applyFont="1" applyFill="1" applyBorder="1"/>
    <x:xf numFmtId="0" fontId="2" fillId="0" borderId="1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wrapText="1"/>
    </x:xf>
    <x:xf numFmtId="0" fontId="3" fillId="3" borderId="0" xfId="0" applyNumberFormat="1" applyFont="1" applyFill="1" applyBorder="1" applyAlignment="1">
      <x:alignment horizontal="center" wrapText="1"/>
    </x:xf>
    <x:xf numFmtId="0" fontId="3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3" fillId="3" borderId="1" xfId="0" applyNumberFormat="1" applyFont="1" applyFill="1" applyBorder="1"/>
    <x:xf numFmtId="0" fontId="3" fillId="3" borderId="1" xfId="0" applyNumberFormat="1" applyFont="1" applyFill="1" applyBorder="1" applyAlignment="1">
      <x:alignment wrapText="1"/>
    </x:xf>
    <x:xf numFmtId="0" fontId="3" fillId="3" borderId="1" xfId="0" applyNumberFormat="1" applyFont="1" applyFill="1" applyBorder="1" applyAlignment="1">
      <x:alignment horizontal="center" wrapText="1"/>
    </x:xf>
    <x:xf numFmtId="0" fontId="3" fillId="3" borderId="1" xfId="0" applyNumberFormat="1" applyFont="1" applyFill="1" applyBorder="1" applyAlignment="1">
      <x:alignment horizontal="center" vertical="center" wrapText="1"/>
    </x:xf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horizontal="center"/>
    </x:xf>
    <x:xf numFmtId="0" fontId="1" fillId="3" borderId="0" xfId="0" applyNumberFormat="1" applyFont="1" applyFill="1" applyBorder="1" applyAlignment="1">
      <x:alignment horizontal="center" vertical="center"/>
    </x:xf>
    <x:xf numFmtId="0" fontId="1" fillId="3" borderId="1" xfId="0" applyNumberFormat="1" applyFont="1" applyFill="1" applyBorder="1"/>
    <x:xf numFmtId="0" fontId="1" fillId="3" borderId="1" xfId="0" applyNumberFormat="1" applyFont="1" applyFill="1" applyBorder="1" applyAlignment="1">
      <x:alignment horizontal="center"/>
    </x:xf>
    <x:xf numFmtId="0" fontId="1" fillId="3" borderId="1" xfId="0" applyNumberFormat="1" applyFont="1" applyFill="1" applyBorder="1" applyAlignment="1">
      <x:alignment horizontal="center" vertical="center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horizontal="center" wrapText="1"/>
    </x:xf>
    <x:xf numFmtId="0" fontId="3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horizontal="center"/>
    </x:xf>
    <x:xf numFmtId="0" fontId="0" fillId="0" borderId="1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 applyAlignment="1">
      <x:alignment horizontal="center" vertical="center"/>
    </x:xf>
    <x:xf numFmtId="0" fontId="0" fillId="0" borderId="1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 applyAlignment="1">
      <x:alignment horizontal="center" vertical="center" wrapText="1"/>
    </x:xf>
    <x:xf numFmtId="200" fontId="0" fillId="0" borderId="1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 applyAlignment="1">
      <x:alignment vertical="center" wrapText="1"/>
    </x:xf>
    <x:xf numFmtId="0" fontId="0" fillId="4" borderId="1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 applyAlignment="1">
      <x:alignment vertical="center" wrapText="1"/>
    </x:xf>
    <x:xf numFmtId="0" fontId="0" fillId="5" borderId="1" xfId="0" applyNumberFormat="1" applyFont="1" applyFill="1" applyBorder="1" applyAlignment="1">
      <x:alignment vertical="center" wrapText="1"/>
    </x:xf>
    <x:xf numFmtId="0" fontId="0" fillId="2" borderId="0" xfId="0" applyNumberFormat="1" applyFont="1" applyFill="1" applyBorder="1" applyAlignment="1">
      <x:alignment vertical="center" wrapText="1"/>
    </x:xf>
    <x:xf numFmtId="0" fontId="0" fillId="2" borderId="1" xfId="0" applyNumberFormat="1" applyFont="1" applyFill="1" applyBorder="1" applyAlignment="1">
      <x:alignment vertical="center" wrapText="1"/>
    </x:xf>
    <x:xf numFmtId="0" fontId="0" fillId="6" borderId="0" xfId="0" applyNumberFormat="1" applyFont="1" applyFill="1" applyBorder="1" applyAlignment="1">
      <x:alignment vertical="center" wrapText="1"/>
    </x:xf>
    <x:xf numFmtId="0" fontId="0" fillId="6" borderId="1" xfId="0" applyNumberFormat="1" applyFont="1" applyFill="1" applyBorder="1" applyAlignment="1">
      <x:alignment vertical="center" wrapText="1"/>
    </x:xf>
    <x:xf numFmtId="0" fontId="3" fillId="4" borderId="0" xfId="0" applyNumberFormat="1" applyFont="1" applyFill="1" applyBorder="1" applyAlignment="1">
      <x:alignment vertical="center" wrapText="1"/>
    </x:xf>
    <x:xf numFmtId="0" fontId="3" fillId="5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 applyAlignment="1">
      <x:alignment vertical="center" wrapText="1"/>
    </x:xf>
    <x:xf numFmtId="0" fontId="3" fillId="6" borderId="0" xfId="0" applyNumberFormat="1" applyFont="1" applyFill="1" applyBorder="1" applyAlignment="1">
      <x:alignment vertical="center" wrapText="1"/>
    </x:xf>
    <x:xf numFmtId="0" fontId="3" fillId="4" borderId="1" xfId="0" applyNumberFormat="1" applyFont="1" applyFill="1" applyBorder="1" applyAlignment="1">
      <x:alignment vertical="center" wrapText="1"/>
    </x:xf>
    <x:xf numFmtId="0" fontId="3" fillId="5" borderId="1" xfId="0" applyNumberFormat="1" applyFont="1" applyFill="1" applyBorder="1" applyAlignment="1">
      <x:alignment vertical="center" wrapText="1"/>
    </x:xf>
    <x:xf numFmtId="0" fontId="3" fillId="2" borderId="1" xfId="0" applyNumberFormat="1" applyFont="1" applyFill="1" applyBorder="1" applyAlignment="1">
      <x:alignment vertical="center" wrapText="1"/>
    </x:xf>
    <x:xf numFmtId="0" fontId="3" fillId="6" borderId="1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 applyAlignment="1">
      <x:alignment vertical="center" wrapText="1"/>
    </x:xf>
    <x:xf numFmtId="0" fontId="3" fillId="0" borderId="1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12">
    <x:dxf>
      <x:font>
        <x:b/>
        <x:color rgb="FFFFFFFF"/>
      </x:font>
      <x:fill>
        <x:patternFill patternType="solid">
          <x:bgColor rgb="FFFF0000"/>
        </x:patternFill>
      </x:fill>
    </x:dxf>
    <x:dxf>
      <x:font>
        <x:b/>
      </x:font>
      <x:fill>
        <x:patternFill patternType="solid">
          <x:bgColor rgb="FFFF9900"/>
        </x:patternFill>
      </x:fill>
    </x:dxf>
    <x:dxf>
      <x:fill>
        <x:patternFill patternType="solid">
          <x:bgColor rgb="FFFFF59D"/>
        </x:patternFill>
      </x:fill>
    </x:dxf>
    <x:dxf>
      <x:fill>
        <x:patternFill patternType="solid">
          <x:bgColor rgb="FFFFFFFF"/>
        </x:patternFill>
      </x:fill>
    </x:dxf>
    <x:dxf>
      <x:font>
        <x:b/>
        <x:color rgb="FFFFFFFF"/>
      </x:font>
      <x:fill>
        <x:patternFill patternType="solid">
          <x:bgColor rgb="FFFF0000"/>
        </x:patternFill>
      </x:fill>
    </x:dxf>
    <x:dxf>
      <x:font>
        <x:b/>
      </x:font>
      <x:fill>
        <x:patternFill patternType="solid">
          <x:bgColor rgb="FFFF9900"/>
        </x:patternFill>
      </x:fill>
    </x:dxf>
    <x:dxf>
      <x:fill>
        <x:patternFill patternType="solid">
          <x:bgColor rgb="FFFFF59D"/>
        </x:patternFill>
      </x:fill>
    </x:dxf>
    <x:dxf>
      <x:fill>
        <x:patternFill patternType="solid">
          <x:bgColor rgb="FFFFFFFF"/>
        </x:patternFill>
      </x:fill>
    </x:dxf>
    <x:dxf>
      <x:font>
        <x:b/>
        <x:color rgb="FFFFFFFF"/>
      </x:font>
      <x:fill>
        <x:patternFill patternType="solid">
          <x:bgColor rgb="FFFF0000"/>
        </x:patternFill>
      </x:fill>
    </x:dxf>
    <x:dxf>
      <x:font>
        <x:b/>
      </x:font>
      <x:fill>
        <x:patternFill patternType="solid">
          <x:bgColor rgb="FFFF9900"/>
        </x:patternFill>
      </x:fill>
    </x:dxf>
    <x:dxf>
      <x:fill>
        <x:patternFill patternType="solid">
          <x:bgColor rgb="FFFFF59D"/>
        </x:patternFill>
      </x:fill>
    </x:dxf>
    <x:dxf>
      <x:fill>
        <x:patternFill patternType="solid">
          <x:bgColor rgb="FFFFFFFF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9a7f8148daa4389" /><Relationship Type="http://schemas.openxmlformats.org/officeDocument/2006/relationships/theme" Target="/xl/theme/theme1.xml" Id="R385f4c87b373431f" /><Relationship Type="http://schemas.openxmlformats.org/officeDocument/2006/relationships/sharedStrings" Target="/xl/sharedStrings.xml" Id="Rd06324f4380a423a" /><Relationship Type="http://schemas.openxmlformats.org/officeDocument/2006/relationships/worksheet" Target="/xl/worksheets/sheet1.xml" Id="R8aa34b630aa84ecd" /></Relationships>
</file>

<file path=xl/tables/table1.xml><?xml version="1.0" encoding="utf-8"?>
<x:table xmlns:x="http://schemas.openxmlformats.org/spreadsheetml/2006/main" id="1" name="TablaRiesgos" displayName="TablaRiesgos" ref="A4:E20" headerRowCount="1">
  <x:tableColumns count="5">
    <x:tableColumn id="1" name="Riesgo"/>
    <x:tableColumn id="2" name="Aparición&#10;(probabilidad)"/>
    <x:tableColumn id="3" name="Gravedad&#10;(impacto)"/>
    <x:tableColumn id="4" name="Valor del&#10;riesgo"/>
    <x:tableColumn id="5" name="Nivel de&#10;riesgo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593e154696a942f5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5" hidden="0" customWidth="1"/>
    <x:col min="4" max="4" width="15" hidden="0" customWidth="1"/>
    <x:col min="5" max="5" width="15" hidden="0" customWidth="1"/>
    <x:col min="6" max="6" width="13" hidden="0" customWidth="1"/>
    <x:col min="7" max="7" width="12" hidden="0" customWidth="1"/>
    <x:col min="8" max="8" width="72" hidden="0" customWidth="1"/>
    <x:col min="9" max="9" width="12" hidden="0" customWidth="1"/>
    <x:col min="10" max="10" width="12" hidden="0" customWidth="1"/>
    <x:col min="11" max="11" width="12" hidden="0" customWidth="1"/>
  </x:cols>
  <x:sheetData>
    <x:row r="1" ht="30" customHeight="1">
      <x:c r="A1" s="5" t="str">
        <x:v>MATRIZ DE RIESGOS - PLAN DE PRUEBAS FINGEST</x:v>
      </x:c>
      <x:c r="B1" s="5"/>
      <x:c r="C1" s="5"/>
      <x:c r="D1" s="5"/>
      <x:c r="E1" s="5"/>
      <x:c r="G1" s="26" t="str">
        <x:v>LEYENDA</x:v>
      </x:c>
      <x:c r="H1" s="26"/>
      <x:c r="I1" s="26"/>
      <x:c r="J1" s="26"/>
      <x:c r="K1" s="26"/>
    </x:row>
    <x:row r="2">
      <x:c r="A2" s="11" t="str">
        <x:v>Sistema de Gestión Financiera Personal (FinGest)</x:v>
      </x:c>
      <x:c r="B2" s="11"/>
      <x:c r="C2" s="11"/>
      <x:c r="D2" s="11"/>
      <x:c r="E2" s="11"/>
    </x:row>
    <x:row r="3">
      <x:c r="G3" s="33" t="str">
        <x:v>GRAVEDAD (IMPACTO)</x:v>
      </x:c>
      <x:c r="H3" s="33"/>
      <x:c r="I3" s="33"/>
      <x:c r="J3" s="33"/>
      <x:c r="K3" s="33"/>
    </x:row>
    <x:row r="4" ht="36" customHeight="1">
      <x:c r="A4" s="18" t="str">
        <x:v>Riesgo</x:v>
      </x:c>
      <x:c r="B4" s="18" t="str">
        <x:v>Aparición
(probabilidad)</x:v>
      </x:c>
      <x:c r="C4" s="18" t="str">
        <x:v>Gravedad
(impacto)</x:v>
      </x:c>
      <x:c r="D4" s="18" t="str">
        <x:v>Valor del
riesgo</x:v>
      </x:c>
      <x:c r="E4" s="18" t="str">
        <x:v>Nivel de
riesgo</x:v>
      </x:c>
      <x:c r="F4" s="33" t="str">
        <x:v>APARICIÓN
(probabilidad)</x:v>
      </x:c>
      <x:c r="G4" s="33" t="str">
        <x:v>Muy bajo
1</x:v>
      </x:c>
      <x:c r="H4" s="33" t="str">
        <x:v>Bajo
2</x:v>
      </x:c>
      <x:c r="I4" s="33" t="str">
        <x:v>Medio
3</x:v>
      </x:c>
      <x:c r="J4" s="33" t="str">
        <x:v>Alto
4</x:v>
      </x:c>
      <x:c r="K4" s="33" t="str">
        <x:v>Muy alto
5</x:v>
      </x:c>
    </x:row>
    <x:row r="5" ht="36" customHeight="1">
      <x:c r="A5" s="40" t="str">
        <x:v>Retraso en la entrega de módulos del sistema FinGest</x:v>
      </x:c>
      <x:c r="B5" s="48" t="n">
        <x:v>4</x:v>
      </x:c>
      <x:c r="C5" s="48" t="n">
        <x:v>4</x:v>
      </x:c>
      <x:c r="D5" s="48" t="n">
        <x:f>B5*C5</x:f>
        <x:v>16</x:v>
      </x:c>
      <x:c r="E5" s="42" t="str">
        <x:f>IF(D5&gt;=15,"Muy grave",IF(D5&gt;=10,"Importante",IF(D5&gt;=5,"Apreciable","Marginal")))</x:f>
        <x:v>Muy grave</x:v>
      </x:c>
      <x:c r="F5" s="33" t="str">
        <x:v>MUY ALTA 5</x:v>
      </x:c>
      <x:c r="G5" s="46" t="n">
        <x:v>5</x:v>
      </x:c>
      <x:c r="H5" s="46" t="n">
        <x:v>10</x:v>
      </x:c>
      <x:c r="I5" s="46" t="n">
        <x:v>15</x:v>
      </x:c>
      <x:c r="J5" s="46" t="n">
        <x:v>20</x:v>
      </x:c>
      <x:c r="K5" s="46" t="n">
        <x:v>25</x:v>
      </x:c>
    </x:row>
    <x:row r="6" ht="36" customHeight="1">
      <x:c r="A6" s="40" t="str">
        <x:v>Requisitos funcionales incompletos o ambiguos</x:v>
      </x:c>
      <x:c r="B6" s="48" t="n">
        <x:v>3</x:v>
      </x:c>
      <x:c r="C6" s="48" t="n">
        <x:v>4</x:v>
      </x:c>
      <x:c r="D6" s="48" t="n">
        <x:f>B6*C6</x:f>
        <x:v>12</x:v>
      </x:c>
      <x:c r="E6" s="42" t="str">
        <x:f>IF(D6&gt;=15,"Muy grave",IF(D6&gt;=10,"Importante",IF(D6&gt;=5,"Apreciable","Marginal")))</x:f>
        <x:v>Importante</x:v>
      </x:c>
      <x:c r="F6" s="33" t="str">
        <x:v>ALTA 4</x:v>
      </x:c>
      <x:c r="G6" s="46" t="n">
        <x:v>4</x:v>
      </x:c>
      <x:c r="H6" s="46" t="n">
        <x:v>8</x:v>
      </x:c>
      <x:c r="I6" s="46" t="n">
        <x:v>12</x:v>
      </x:c>
      <x:c r="J6" s="46" t="n">
        <x:v>16</x:v>
      </x:c>
      <x:c r="K6" s="46" t="n">
        <x:v>20</x:v>
      </x:c>
    </x:row>
    <x:row r="7" ht="36" customHeight="1">
      <x:c r="A7" s="40" t="str">
        <x:v>Cambios en los requisitos durante la etapa de pruebas</x:v>
      </x:c>
      <x:c r="B7" s="48" t="n">
        <x:v>3</x:v>
      </x:c>
      <x:c r="C7" s="48" t="n">
        <x:v>3</x:v>
      </x:c>
      <x:c r="D7" s="48" t="n">
        <x:f>B7*C7</x:f>
        <x:v>9</x:v>
      </x:c>
      <x:c r="E7" s="42" t="str">
        <x:f>IF(D7&gt;=15,"Muy grave",IF(D7&gt;=10,"Importante",IF(D7&gt;=5,"Apreciable","Marginal")))</x:f>
        <x:v>Apreciable</x:v>
      </x:c>
      <x:c r="F7" s="33" t="str">
        <x:v>MEDIA 3</x:v>
      </x:c>
      <x:c r="G7" s="46" t="n">
        <x:v>3</x:v>
      </x:c>
      <x:c r="H7" s="46" t="n">
        <x:v>6</x:v>
      </x:c>
      <x:c r="I7" s="46" t="n">
        <x:v>9</x:v>
      </x:c>
      <x:c r="J7" s="46" t="n">
        <x:v>12</x:v>
      </x:c>
      <x:c r="K7" s="46" t="n">
        <x:v>15</x:v>
      </x:c>
    </x:row>
    <x:row r="8" ht="36" customHeight="1">
      <x:c r="A8" s="40" t="str">
        <x:v>Entorno de pruebas no configurado correctamente</x:v>
      </x:c>
      <x:c r="B8" s="48" t="n">
        <x:v>3</x:v>
      </x:c>
      <x:c r="C8" s="48" t="n">
        <x:v>4</x:v>
      </x:c>
      <x:c r="D8" s="48" t="n">
        <x:f>B8*C8</x:f>
        <x:v>12</x:v>
      </x:c>
      <x:c r="E8" s="42" t="str">
        <x:f>IF(D8&gt;=15,"Muy grave",IF(D8&gt;=10,"Importante",IF(D8&gt;=5,"Apreciable","Marginal")))</x:f>
        <x:v>Importante</x:v>
      </x:c>
      <x:c r="F8" s="33" t="str">
        <x:v>BAJA 2</x:v>
      </x:c>
      <x:c r="G8" s="46" t="n">
        <x:v>2</x:v>
      </x:c>
      <x:c r="H8" s="46" t="n">
        <x:v>4</x:v>
      </x:c>
      <x:c r="I8" s="46" t="n">
        <x:v>6</x:v>
      </x:c>
      <x:c r="J8" s="46" t="n">
        <x:v>8</x:v>
      </x:c>
      <x:c r="K8" s="46" t="n">
        <x:v>10</x:v>
      </x:c>
    </x:row>
    <x:row r="9" ht="36" customHeight="1">
      <x:c r="A9" s="40" t="str">
        <x:v>Datos de prueba insuficientes para ingresos, egresos, préstamos y cuentas</x:v>
      </x:c>
      <x:c r="B9" s="48" t="n">
        <x:v>4</x:v>
      </x:c>
      <x:c r="C9" s="48" t="n">
        <x:v>3</x:v>
      </x:c>
      <x:c r="D9" s="48" t="n">
        <x:f>B9*C9</x:f>
        <x:v>12</x:v>
      </x:c>
      <x:c r="E9" s="42" t="str">
        <x:f>IF(D9&gt;=15,"Muy grave",IF(D9&gt;=10,"Importante",IF(D9&gt;=5,"Apreciable","Marginal")))</x:f>
        <x:v>Importante</x:v>
      </x:c>
      <x:c r="F9" s="33" t="str">
        <x:v>MUY BAJA 1</x:v>
      </x:c>
      <x:c r="G9" s="46" t="n">
        <x:v>1</x:v>
      </x:c>
      <x:c r="H9" s="46" t="n">
        <x:v>2</x:v>
      </x:c>
      <x:c r="I9" s="46" t="n">
        <x:v>3</x:v>
      </x:c>
      <x:c r="J9" s="46" t="n">
        <x:v>4</x:v>
      </x:c>
      <x:c r="K9" s="46" t="n">
        <x:v>5</x:v>
      </x:c>
    </x:row>
    <x:row r="10" ht="36" customHeight="1">
      <x:c r="A10" s="40" t="str">
        <x:v>Falta de tiempo por calendario académico y entregas del curso</x:v>
      </x:c>
      <x:c r="B10" s="48" t="n">
        <x:v>4</x:v>
      </x:c>
      <x:c r="C10" s="48" t="n">
        <x:v>4</x:v>
      </x:c>
      <x:c r="D10" s="48" t="n">
        <x:f>B10*C10</x:f>
        <x:v>16</x:v>
      </x:c>
      <x:c r="E10" s="42" t="str">
        <x:f>IF(D10&gt;=15,"Muy grave",IF(D10&gt;=10,"Importante",IF(D10&gt;=5,"Apreciable","Marginal")))</x:f>
        <x:v>Muy grave</x:v>
      </x:c>
    </x:row>
    <x:row r="11" ht="45" customHeight="1">
      <x:c r="A11" s="40" t="str">
        <x:v>Indisponibilidad de integrantes del equipo para ejecutar pruebas</x:v>
      </x:c>
      <x:c r="B11" s="48" t="n">
        <x:v>3</x:v>
      </x:c>
      <x:c r="C11" s="48" t="n">
        <x:v>3</x:v>
      </x:c>
      <x:c r="D11" s="48" t="n">
        <x:f>B11*C11</x:f>
        <x:v>9</x:v>
      </x:c>
      <x:c r="E11" s="42" t="str">
        <x:f>IF(D11&gt;=15,"Muy grave",IF(D11&gt;=10,"Importante",IF(D11&gt;=5,"Apreciable","Marginal")))</x:f>
        <x:v>Apreciable</x:v>
      </x:c>
      <x:c r="G11" s="58" t="str">
        <x:v>Muy grave</x:v>
      </x:c>
      <x:c r="H11" s="40" t="str">
        <x:v>Riesgo muy grave. Requiere medidas preventivas urgentes. No se debe iniciar el proyecto sin controlar sólidamente el riesgo.</x:v>
      </x:c>
    </x:row>
    <x:row r="12" ht="45" customHeight="1">
      <x:c r="A12" s="40" t="str">
        <x:v>Errores en cálculos de saldos, préstamos, amortizaciones o cambio de moneda</x:v>
      </x:c>
      <x:c r="B12" s="48" t="n">
        <x:v>3</x:v>
      </x:c>
      <x:c r="C12" s="48" t="n">
        <x:v>5</x:v>
      </x:c>
      <x:c r="D12" s="48" t="n">
        <x:f>B12*C12</x:f>
        <x:v>15</x:v>
      </x:c>
      <x:c r="E12" s="42" t="str">
        <x:f>IF(D12&gt;=15,"Muy grave",IF(D12&gt;=10,"Importante",IF(D12&gt;=5,"Apreciable","Marginal")))</x:f>
        <x:v>Muy grave</x:v>
      </x:c>
      <x:c r="G12" s="59" t="str">
        <x:v>Importante</x:v>
      </x:c>
      <x:c r="H12" s="40" t="str">
        <x:v>Riesgo importante. Medidas preventivas obligatorias. Se deben controlar fuertemente las variables de riesgo durante el proyecto.</x:v>
      </x:c>
    </x:row>
    <x:row r="13" ht="45" customHeight="1">
      <x:c r="A13" s="40" t="str">
        <x:v>Defectos críticos no corregidos antes de la entrega final</x:v>
      </x:c>
      <x:c r="B13" s="48" t="n">
        <x:v>3</x:v>
      </x:c>
      <x:c r="C13" s="48" t="n">
        <x:v>5</x:v>
      </x:c>
      <x:c r="D13" s="48" t="n">
        <x:f>B13*C13</x:f>
        <x:v>15</x:v>
      </x:c>
      <x:c r="E13" s="42" t="str">
        <x:f>IF(D13&gt;=15,"Muy grave",IF(D13&gt;=10,"Importante",IF(D13&gt;=5,"Apreciable","Marginal")))</x:f>
        <x:v>Muy grave</x:v>
      </x:c>
      <x:c r="G13" s="60" t="str">
        <x:v>Apreciable</x:v>
      </x:c>
      <x:c r="H13" s="40" t="str">
        <x:v>Riesgo apreciable. Se deben estudiar e introducir medidas para reducir el nivel de riesgo y mantener las variables controladas.</x:v>
      </x:c>
    </x:row>
    <x:row r="14" ht="45" customHeight="1">
      <x:c r="A14" s="40" t="str">
        <x:v>Pérdida o falta de evidencias de ejecución de pruebas</x:v>
      </x:c>
      <x:c r="B14" s="48" t="n">
        <x:v>2</x:v>
      </x:c>
      <x:c r="C14" s="48" t="n">
        <x:v>3</x:v>
      </x:c>
      <x:c r="D14" s="48" t="n">
        <x:f>B14*C14</x:f>
        <x:v>6</x:v>
      </x:c>
      <x:c r="E14" s="42" t="str">
        <x:f>IF(D14&gt;=15,"Muy grave",IF(D14&gt;=10,"Importante",IF(D14&gt;=5,"Apreciable","Marginal")))</x:f>
        <x:v>Apreciable</x:v>
      </x:c>
      <x:c r="G14" s="61" t="str">
        <x:v>Marginal</x:v>
      </x:c>
      <x:c r="H14" s="40" t="str">
        <x:v>Riesgo marginal. Se vigilará aunque no requiere medidas preventivas de partida.</x:v>
      </x:c>
    </x:row>
    <x:row r="15" ht="36" customHeight="1">
      <x:c r="A15" s="40" t="str">
        <x:v>Comunicación deficiente entre QA, desarrollo y responsable del proyecto</x:v>
      </x:c>
      <x:c r="B15" s="48" t="n">
        <x:v>3</x:v>
      </x:c>
      <x:c r="C15" s="48" t="n">
        <x:v>3</x:v>
      </x:c>
      <x:c r="D15" s="48" t="n">
        <x:f>B15*C15</x:f>
        <x:v>9</x:v>
      </x:c>
      <x:c r="E15" s="42" t="str">
        <x:f>IF(D15&gt;=15,"Muy grave",IF(D15&gt;=10,"Importante",IF(D15&gt;=5,"Apreciable","Marginal")))</x:f>
        <x:v>Apreciable</x:v>
      </x:c>
    </x:row>
    <x:row r="16" ht="36" customHeight="1">
      <x:c r="A16" s="40" t="str">
        <x:v>Falta de acceso al repositorio, base de datos o credenciales de prueba</x:v>
      </x:c>
      <x:c r="B16" s="48" t="n">
        <x:v>2</x:v>
      </x:c>
      <x:c r="C16" s="48" t="n">
        <x:v>4</x:v>
      </x:c>
      <x:c r="D16" s="48" t="n">
        <x:f>B16*C16</x:f>
        <x:v>8</x:v>
      </x:c>
      <x:c r="E16" s="42" t="str">
        <x:f>IF(D16&gt;=15,"Muy grave",IF(D16&gt;=10,"Importante",IF(D16&gt;=5,"Apreciable","Marginal")))</x:f>
        <x:v>Apreciable</x:v>
      </x:c>
    </x:row>
    <x:row r="17" ht="36" customHeight="1">
      <x:c r="A17" s="40" t="str">
        <x:v>Inconsistencia entre requisitos, casos de prueba y matriz de trazabilidad</x:v>
      </x:c>
      <x:c r="B17" s="48" t="n">
        <x:v>3</x:v>
      </x:c>
      <x:c r="C17" s="48" t="n">
        <x:v>4</x:v>
      </x:c>
      <x:c r="D17" s="48" t="n">
        <x:f>B17*C17</x:f>
        <x:v>12</x:v>
      </x:c>
      <x:c r="E17" s="42" t="str">
        <x:f>IF(D17&gt;=15,"Muy grave",IF(D17&gt;=10,"Importante",IF(D17&gt;=5,"Apreciable","Marginal")))</x:f>
        <x:v>Importante</x:v>
      </x:c>
    </x:row>
    <x:row r="18" ht="36" customHeight="1">
      <x:c r="A18" s="40" t="str">
        <x:v>Herramienta de gestión de defectos no disponible o mal usada</x:v>
      </x:c>
      <x:c r="B18" s="48" t="n">
        <x:v>2</x:v>
      </x:c>
      <x:c r="C18" s="48" t="n">
        <x:v>3</x:v>
      </x:c>
      <x:c r="D18" s="48" t="n">
        <x:f>B18*C18</x:f>
        <x:v>6</x:v>
      </x:c>
      <x:c r="E18" s="42" t="str">
        <x:f>IF(D18&gt;=15,"Muy grave",IF(D18&gt;=10,"Importante",IF(D18&gt;=5,"Apreciable","Marginal")))</x:f>
        <x:v>Apreciable</x:v>
      </x:c>
    </x:row>
    <x:row r="19" ht="36" customHeight="1">
      <x:c r="A19" s="40" t="str">
        <x:v>Baja participación del usuario final/docente en pruebas de aceptación</x:v>
      </x:c>
      <x:c r="B19" s="48" t="n">
        <x:v>2</x:v>
      </x:c>
      <x:c r="C19" s="48" t="n">
        <x:v>4</x:v>
      </x:c>
      <x:c r="D19" s="48" t="n">
        <x:f>B19*C19</x:f>
        <x:v>8</x:v>
      </x:c>
      <x:c r="E19" s="42" t="str">
        <x:f>IF(D19&gt;=15,"Muy grave",IF(D19&gt;=10,"Importante",IF(D19&gt;=5,"Apreciable","Marginal")))</x:f>
        <x:v>Apreciable</x:v>
      </x:c>
    </x:row>
    <x:row r="20" ht="36" customHeight="1">
      <x:c r="A20" s="40" t="str">
        <x:v>Problemas de compatibilidad en navegadores o interfaz responsive</x:v>
      </x:c>
      <x:c r="B20" s="48" t="n">
        <x:v>2</x:v>
      </x:c>
      <x:c r="C20" s="48" t="n">
        <x:v>3</x:v>
      </x:c>
      <x:c r="D20" s="48" t="n">
        <x:f>B20*C20</x:f>
        <x:v>6</x:v>
      </x:c>
      <x:c r="E20" s="42" t="str">
        <x:f>IF(D20&gt;=15,"Muy grave",IF(D20&gt;=10,"Importante",IF(D20&gt;=5,"Apreciable","Marginal")))</x:f>
        <x:v>Apreciable</x:v>
      </x:c>
    </x:row>
    <x:row r="22">
      <x:c r="A22" s="18" t="str">
        <x:v>Resumen automático</x:v>
      </x:c>
      <x:c r="B22" s="18"/>
      <x:c r="C22" s="18"/>
      <x:c r="D22" s="18"/>
      <x:c r="E22" s="18"/>
    </x:row>
    <x:row r="23">
      <x:c r="A23" s="66" t="str">
        <x:v>Muy grave</x:v>
      </x:c>
      <x:c r="B23" s="42" t="n">
        <x:f>COUNTIF(E5:E20,"Muy grave")</x:f>
        <x:v>4</x:v>
      </x:c>
    </x:row>
    <x:row r="24">
      <x:c r="A24" s="66" t="str">
        <x:v>Importante</x:v>
      </x:c>
      <x:c r="B24" s="42" t="n">
        <x:f>COUNTIF(E5:E20,"Importante")</x:f>
        <x:v>4</x:v>
      </x:c>
    </x:row>
    <x:row r="25">
      <x:c r="A25" s="66" t="str">
        <x:v>Apreciable</x:v>
      </x:c>
      <x:c r="B25" s="42" t="n">
        <x:f>COUNTIF(E5:E20,"Apreciable")</x:f>
        <x:v>8</x:v>
      </x:c>
    </x:row>
    <x:row r="26">
      <x:c r="A26" s="66" t="str">
        <x:v>Marginal</x:v>
      </x:c>
      <x:c r="B26" s="42" t="n">
        <x:f>COUNTIF(E5:E20,"Marginal")</x:f>
        <x:v>0</x:v>
      </x:c>
    </x:row>
  </x:sheetData>
  <x:mergeCells>
    <x:mergeCell ref="A1:E1"/>
    <x:mergeCell ref="A2:E2"/>
    <x:mergeCell ref="G1:K1"/>
    <x:mergeCell ref="G3:K3"/>
    <x:mergeCell ref="A22:E22"/>
  </x:mergeCells>
  <x:conditionalFormatting sqref="D5:D20">
    <x:cfRule type="expression" dxfId="0" priority="1">
      <x:formula>D5&gt;=15</x:formula>
    </x:cfRule>
    <x:cfRule type="expression" dxfId="1" priority="2">
      <x:formula>AND(D5&gt;=10,D5&lt;15)</x:formula>
    </x:cfRule>
    <x:cfRule type="expression" dxfId="2" priority="3">
      <x:formula>AND(D5&gt;=5,D5&lt;10)</x:formula>
    </x:cfRule>
    <x:cfRule type="expression" dxfId="3" priority="4">
      <x:formula>D5&lt;5</x:formula>
    </x:cfRule>
  </x:conditionalFormatting>
  <x:conditionalFormatting sqref="E5:E20">
    <x:cfRule type="expression" dxfId="4" priority="5">
      <x:formula>D5&gt;=15</x:formula>
    </x:cfRule>
    <x:cfRule type="expression" dxfId="5" priority="6">
      <x:formula>AND(D5&gt;=10,D5&lt;15)</x:formula>
    </x:cfRule>
    <x:cfRule type="expression" dxfId="6" priority="7">
      <x:formula>AND(D5&gt;=5,D5&lt;10)</x:formula>
    </x:cfRule>
    <x:cfRule type="expression" dxfId="7" priority="8">
      <x:formula>D5&lt;5</x:formula>
    </x:cfRule>
  </x:conditionalFormatting>
  <x:conditionalFormatting sqref="G5:K9">
    <x:cfRule type="expression" dxfId="8" priority="9">
      <x:formula>G5&gt;=15</x:formula>
    </x:cfRule>
    <x:cfRule type="expression" dxfId="9" priority="10">
      <x:formula>AND(G5&gt;=10,G5&lt;15)</x:formula>
    </x:cfRule>
    <x:cfRule type="expression" dxfId="10" priority="11">
      <x:formula>AND(G5&gt;=5,G5&lt;10)</x:formula>
    </x:cfRule>
    <x:cfRule type="expression" dxfId="11" priority="12">
      <x:formula>G5&lt;5</x:formula>
    </x:cfRule>
  </x:conditionalFormatting>
  <x:dataValidations count="1">
    <x:dataValidation type="list" sqref="B5:C20">
      <x:formula1>"1,2,3,4,5"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593e154696a942f5"/>
  </x:tableParts>
</x:worksheet>
</file>